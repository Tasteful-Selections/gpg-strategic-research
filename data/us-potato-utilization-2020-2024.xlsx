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s\gpg-strategic-research\data\"/>
    </mc:Choice>
  </mc:AlternateContent>
  <xr:revisionPtr revIDLastSave="0" documentId="13_ncr:1_{F7250B0A-FBFA-4AF2-B3E2-2FBCBB0D1CD4}" xr6:coauthVersionLast="47" xr6:coauthVersionMax="47" xr10:uidLastSave="{00000000-0000-0000-0000-000000000000}"/>
  <bookViews>
    <workbookView xWindow="3560" yWindow="1840" windowWidth="32340" windowHeight="17350" xr2:uid="{00000000-000D-0000-FFFF-FFFF00000000}"/>
  </bookViews>
  <sheets>
    <sheet name="Utilization (M CWT)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H12" i="1"/>
  <c r="G12" i="1"/>
  <c r="H11" i="1"/>
  <c r="G11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<sst xmlns="http://schemas.openxmlformats.org/spreadsheetml/2006/main" count="58" uniqueCount="46">
  <si>
    <t>U.S. Potato Utilization by Segment — 2020–2024 (Million CWT)</t>
  </si>
  <si>
    <t>Source: USDA NASS Potatoes Annual Summary Reports (2020–2024)</t>
  </si>
  <si>
    <t>Category</t>
  </si>
  <si>
    <t>2020</t>
  </si>
  <si>
    <t>2021</t>
  </si>
  <si>
    <t>2022</t>
  </si>
  <si>
    <t>2023</t>
  </si>
  <si>
    <t>2024</t>
  </si>
  <si>
    <t>5-Yr CAGR</t>
  </si>
  <si>
    <t>5-Yr Δ</t>
  </si>
  <si>
    <t>Fresh / Table Stock</t>
  </si>
  <si>
    <t>Frozen (Fries + Other)</t>
  </si>
  <si>
    <t>Chips &amp; Shoestrings</t>
  </si>
  <si>
    <t>Dehydrated</t>
  </si>
  <si>
    <t>Canning</t>
  </si>
  <si>
    <t>Total Processing</t>
  </si>
  <si>
    <t>Total Production</t>
  </si>
  <si>
    <t>Share of Total Production</t>
  </si>
  <si>
    <t>Fresh %</t>
  </si>
  <si>
    <t>Frozen %</t>
  </si>
  <si>
    <t>Chips %</t>
  </si>
  <si>
    <t>Dehydrated %</t>
  </si>
  <si>
    <t>Canning %</t>
  </si>
  <si>
    <t>Total Processing %</t>
  </si>
  <si>
    <t>Data Confidence</t>
  </si>
  <si>
    <t>High on 2021–2024 — sourced directly from USDA NASS annual Potatoes Summary reports.</t>
  </si>
  <si>
    <t>2020 canning figure (~2.6M cwt) is estimated from YoY percentage changes in 2021 report.</t>
  </si>
  <si>
    <t>Some 2020 sub-categories back-calculated from reported YoY percentage changes.</t>
  </si>
  <si>
    <t>Key Trends (2020–2024)</t>
  </si>
  <si>
    <t>1.</t>
  </si>
  <si>
    <t>Fresh/table stock held flat in a 91–101M cwt range — tracks crop size, no structural growth or decline.</t>
  </si>
  <si>
    <t>2.</t>
  </si>
  <si>
    <t>Frozen peaked in 2023 at 176M cwt, then dropped 7% to 163M in 2024 — largest single-year move. Processing capacity constraints + softer foodservice demand.</t>
  </si>
  <si>
    <t>3.</t>
  </si>
  <si>
    <t>Chips quietly declining — 62M to 56M cwt over three years. Consumer snacking shifts away from traditional potato chips.</t>
  </si>
  <si>
    <t>4.</t>
  </si>
  <si>
    <t>Dehydrated volatile but stable — bounces between 38–45M cwt depending on crop year and contract dynamics.</t>
  </si>
  <si>
    <t>5.</t>
  </si>
  <si>
    <t>Total processing hit 5-year low in 2024 at 274M cwt, down 5% from 2023.</t>
  </si>
  <si>
    <t>Sources</t>
  </si>
  <si>
    <t>USDA NASS Potatoes 2024 Summary (Sep 2025): https://www.nass.usda.gov/Publications/Todays_Reports/reports/pots0925.pdf</t>
  </si>
  <si>
    <t>USDA NASS Potatoes 2023 Summary (Sep 2024): https://esmis.nal.usda.gov/sites/default/release-files/fx719m44h/6q184c88z/v118t7605/pots0924.pdf</t>
  </si>
  <si>
    <t>USDA NASS Potatoes 2022 Summary (Sep 2023): https://esmis.nal.usda.gov/sites/default/release-files/fx719m44h/cr56pj02j/4q77h840g/pots0923.pdf</t>
  </si>
  <si>
    <t>USDA NASS Potatoes 2021 Summary (Sep 2022): https://esmis.nal.usda.gov/sites/default/release-files/fx719m44h/gb19gf71k/37721m72q/pots0922.pdf</t>
  </si>
  <si>
    <t>USDA NASS Potatoes 2020 Summary (Sep 2021): https://downloads.usda.library.cornell.edu/usda-esmis/files/fx719m44h/f7624b72t/db78vc14v/pots0921.pdf</t>
  </si>
  <si>
    <t>USDA ERS Vegetables &amp; Pulses Yearbook Tables: https://www.ers.usda.gov/data-products/vegetables-and-pulses-data/vegetables-and-pulses-yearbook-tables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</si>
</sst>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\+#,##0.0;\-#,##0.0;&quot;-&quot;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b/>
      <sz val="11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0" fillId="3" borderId="1" xfId="0" applyFill="1" applyBorder="1"/>
    <xf numFmtId="0" fontId="0" fillId="0" borderId="1" xfId="0" applyBorder="1"/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2F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Potato Utilization by Segment (Million CWT)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2F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'Utilization (M CWT)'!$B$24</c:f>
              <c:strCache>
                <c:ptCount val="1"/>
                <c:pt idx="0">
                  <c:v>Fresh / Table Stock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'Utilization (M CWT)'!$A$25:$A$29</c:f>
              <c:numCache>
                <c:formatCode>0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'Utilization (M CWT)'!$B$25:$B$29</c:f>
              <c:numCache>
                <c:formatCode>General</c:formatCode>
                <c:ptCount val="5"/>
                <c:pt idx="0">
                  <c:v>101</c:v>
                </c:pt>
                <c:pt idx="1">
                  <c:v>94.4</c:v>
                </c:pt>
                <c:pt idx="2">
                  <c:v>91.6</c:v>
                </c:pt>
                <c:pt idx="3">
                  <c:v>99.6</c:v>
                </c:pt>
                <c:pt idx="4">
                  <c:v>99.3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F-428E-B505-403575CE132C}"/>
            </c:ext>
          </c:extLst>
        </c:ser>
        <c:ser>
          <c:idx val="1"/>
          <c:order val="1"/>
          <c:tx>
            <c:strRef>
              <c:f>'Utilization (M CWT)'!$C$24</c:f>
              <c:strCache>
                <c:ptCount val="1"/>
                <c:pt idx="0">
                  <c:v>Frozen (Fries + Other)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'Utilization (M CWT)'!$A$25:$A$29</c:f>
              <c:numCache>
                <c:formatCode>0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'Utilization (M CWT)'!$C$25:$C$29</c:f>
              <c:numCache>
                <c:formatCode>General</c:formatCode>
                <c:ptCount val="5"/>
                <c:pt idx="0">
                  <c:v>167</c:v>
                </c:pt>
                <c:pt idx="1">
                  <c:v>171</c:v>
                </c:pt>
                <c:pt idx="2">
                  <c:v>169</c:v>
                </c:pt>
                <c:pt idx="3">
                  <c:v>176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F-428E-B505-403575CE132C}"/>
            </c:ext>
          </c:extLst>
        </c:ser>
        <c:ser>
          <c:idx val="2"/>
          <c:order val="2"/>
          <c:tx>
            <c:strRef>
              <c:f>'Utilization (M CWT)'!$D$24</c:f>
              <c:strCache>
                <c:ptCount val="1"/>
                <c:pt idx="0">
                  <c:v>Chips &amp; Shoestrings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numRef>
              <c:f>'Utilization (M CWT)'!$A$25:$A$29</c:f>
              <c:numCache>
                <c:formatCode>0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'Utilization (M CWT)'!$D$25:$D$29</c:f>
              <c:numCache>
                <c:formatCode>General</c:formatCode>
                <c:ptCount val="5"/>
                <c:pt idx="0">
                  <c:v>59.2</c:v>
                </c:pt>
                <c:pt idx="1">
                  <c:v>60.3</c:v>
                </c:pt>
                <c:pt idx="2">
                  <c:v>62.1</c:v>
                </c:pt>
                <c:pt idx="3">
                  <c:v>57.8</c:v>
                </c:pt>
                <c:pt idx="4">
                  <c:v>55.8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F-428E-B505-403575CE132C}"/>
            </c:ext>
          </c:extLst>
        </c:ser>
        <c:ser>
          <c:idx val="3"/>
          <c:order val="3"/>
          <c:tx>
            <c:strRef>
              <c:f>'Utilization (M CWT)'!$E$24</c:f>
              <c:strCache>
                <c:ptCount val="1"/>
                <c:pt idx="0">
                  <c:v>Dehydrated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'Utilization (M CWT)'!$A$25:$A$29</c:f>
              <c:numCache>
                <c:formatCode>0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'Utilization (M CWT)'!$E$25:$E$29</c:f>
              <c:numCache>
                <c:formatCode>General</c:formatCode>
                <c:ptCount val="5"/>
                <c:pt idx="0">
                  <c:v>44.9</c:v>
                </c:pt>
                <c:pt idx="1">
                  <c:v>40.6</c:v>
                </c:pt>
                <c:pt idx="2">
                  <c:v>37.9</c:v>
                </c:pt>
                <c:pt idx="3">
                  <c:v>42.7</c:v>
                </c:pt>
                <c:pt idx="4">
                  <c:v>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F-428E-B505-403575CE132C}"/>
            </c:ext>
          </c:extLst>
        </c:ser>
        <c:ser>
          <c:idx val="4"/>
          <c:order val="4"/>
          <c:tx>
            <c:strRef>
              <c:f>'Utilization (M CWT)'!$F$24</c:f>
              <c:strCache>
                <c:ptCount val="1"/>
                <c:pt idx="0">
                  <c:v>Canning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'Utilization (M CWT)'!$A$25:$A$29</c:f>
              <c:numCache>
                <c:formatCode>0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'Utilization (M CWT)'!$F$25:$F$29</c:f>
              <c:numCache>
                <c:formatCode>General</c:formatCode>
                <c:ptCount val="5"/>
                <c:pt idx="0">
                  <c:v>2.6</c:v>
                </c:pt>
                <c:pt idx="1">
                  <c:v>2.2000000000000002</c:v>
                </c:pt>
                <c:pt idx="2">
                  <c:v>1.8</c:v>
                </c:pt>
                <c:pt idx="3">
                  <c:v>1.9</c:v>
                </c:pt>
                <c:pt idx="4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CF-428E-B505-403575CE1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9087408"/>
        <c:axId val="349087888"/>
      </c:barChart>
      <c:catAx>
        <c:axId val="3490874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87888"/>
        <c:crosses val="autoZero"/>
        <c:auto val="1"/>
        <c:lblAlgn val="ctr"/>
        <c:lblOffset val="100"/>
        <c:noMultiLvlLbl val="0"/>
      </c:catAx>
      <c:valAx>
        <c:axId val="3490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 CWT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0404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087408"/>
        <c:crosses val="autoZero"/>
        <c:crossBetween val="between"/>
      </c:valAx>
      <c:spPr>
        <a:solidFill>
          <a:srgbClr val="FAFA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32</xdr:row>
      <xdr:rowOff>158749</xdr:rowOff>
    </xdr:from>
    <xdr:to>
      <xdr:col>7</xdr:col>
      <xdr:colOff>647699</xdr:colOff>
      <xdr:row>59</xdr:row>
      <xdr:rowOff>12699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795197-4414-C9E9-FFFD-6574709CB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91EF42-C915-4E95-A015-836EDC8C4307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15" zoomScaleNormal="115" workbookViewId="0">
      <pane xSplit="1" ySplit="4" topLeftCell="B5" activePane="bottomRight" state="frozen"/>
      <selection pane="topRight"/>
      <selection pane="bottomLeft"/>
      <selection pane="bottomRight" activeCell="M40" sqref="M40"/>
    </sheetView>
  </sheetViews>
  <sheetFormatPr defaultRowHeight="14.5" outlineLevelRow="2" x14ac:dyDescent="0.35"/>
  <cols>
    <col min="1" max="1" width="26" customWidth="1"/>
    <col min="2" max="8" width="12" customWidth="1"/>
  </cols>
  <sheetData>
    <row r="1" spans="1:8" ht="18" x14ac:dyDescent="0.35">
      <c r="A1" s="21" t="s">
        <v>0</v>
      </c>
      <c r="B1" s="19"/>
      <c r="C1" s="19"/>
      <c r="D1" s="19"/>
      <c r="E1" s="19"/>
      <c r="F1" s="19"/>
      <c r="G1" s="19"/>
      <c r="H1" s="19"/>
    </row>
    <row r="2" spans="1:8" x14ac:dyDescent="0.35">
      <c r="A2" s="20" t="s">
        <v>1</v>
      </c>
      <c r="B2" s="19"/>
      <c r="C2" s="19"/>
      <c r="D2" s="19"/>
      <c r="E2" s="19"/>
      <c r="F2" s="19"/>
      <c r="G2" s="19"/>
      <c r="H2" s="19"/>
    </row>
    <row r="4" spans="1:8" x14ac:dyDescent="0.3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5">
      <c r="A5" s="3" t="s">
        <v>10</v>
      </c>
      <c r="B5" s="4">
        <v>101</v>
      </c>
      <c r="C5" s="4">
        <v>94.4</v>
      </c>
      <c r="D5" s="4">
        <v>91.6</v>
      </c>
      <c r="E5" s="4">
        <v>99.6</v>
      </c>
      <c r="F5" s="4">
        <v>99.3</v>
      </c>
      <c r="G5" s="5">
        <f>(F5/B5)^(1/4)-1</f>
        <v>-4.2347445222989943E-3</v>
      </c>
      <c r="H5" s="6">
        <f>F5-B5</f>
        <v>-1.7000000000000028</v>
      </c>
    </row>
    <row r="6" spans="1:8" x14ac:dyDescent="0.35">
      <c r="A6" s="7" t="s">
        <v>11</v>
      </c>
      <c r="B6" s="8">
        <v>167</v>
      </c>
      <c r="C6" s="8">
        <v>171</v>
      </c>
      <c r="D6" s="8">
        <v>169</v>
      </c>
      <c r="E6" s="8">
        <v>176</v>
      </c>
      <c r="F6" s="8">
        <v>163</v>
      </c>
      <c r="G6" s="9">
        <f>(F6/B6)^(1/4)-1</f>
        <v>-6.0425726817607828E-3</v>
      </c>
      <c r="H6" s="10">
        <f>F6-B6</f>
        <v>-4</v>
      </c>
    </row>
    <row r="7" spans="1:8" x14ac:dyDescent="0.35">
      <c r="A7" s="3" t="s">
        <v>12</v>
      </c>
      <c r="B7" s="4">
        <v>59.2</v>
      </c>
      <c r="C7" s="4">
        <v>60.3</v>
      </c>
      <c r="D7" s="4">
        <v>62.1</v>
      </c>
      <c r="E7" s="4">
        <v>57.8</v>
      </c>
      <c r="F7" s="4">
        <v>55.8</v>
      </c>
      <c r="G7" s="5">
        <f>(F7/B7)^(1/4)-1</f>
        <v>-1.4678128532882306E-2</v>
      </c>
      <c r="H7" s="6">
        <f>F7-B7</f>
        <v>-3.4000000000000057</v>
      </c>
    </row>
    <row r="8" spans="1:8" x14ac:dyDescent="0.35">
      <c r="A8" s="7" t="s">
        <v>13</v>
      </c>
      <c r="B8" s="8">
        <v>44.9</v>
      </c>
      <c r="C8" s="8">
        <v>40.6</v>
      </c>
      <c r="D8" s="8">
        <v>37.9</v>
      </c>
      <c r="E8" s="8">
        <v>42.7</v>
      </c>
      <c r="F8" s="8">
        <v>42.6</v>
      </c>
      <c r="G8" s="9">
        <f>(F8/B8)^(1/4)-1</f>
        <v>-1.3059855608896553E-2</v>
      </c>
      <c r="H8" s="10">
        <f>F8-B8</f>
        <v>-2.2999999999999972</v>
      </c>
    </row>
    <row r="9" spans="1:8" x14ac:dyDescent="0.35">
      <c r="A9" s="3" t="s">
        <v>14</v>
      </c>
      <c r="B9" s="4">
        <v>2.6</v>
      </c>
      <c r="C9" s="4">
        <v>2.2000000000000002</v>
      </c>
      <c r="D9" s="4">
        <v>1.8</v>
      </c>
      <c r="E9" s="4">
        <v>1.9</v>
      </c>
      <c r="F9" s="4">
        <v>1.9</v>
      </c>
      <c r="G9" s="5">
        <f>(F9/B9)^(1/4)-1</f>
        <v>-7.5418789794476582E-2</v>
      </c>
      <c r="H9" s="6">
        <f>F9-B9</f>
        <v>-0.70000000000000018</v>
      </c>
    </row>
    <row r="11" spans="1:8" x14ac:dyDescent="0.35">
      <c r="A11" s="11" t="s">
        <v>15</v>
      </c>
      <c r="B11" s="4">
        <v>280</v>
      </c>
      <c r="C11" s="4">
        <v>281</v>
      </c>
      <c r="D11" s="4">
        <v>279</v>
      </c>
      <c r="E11" s="4">
        <v>287</v>
      </c>
      <c r="F11" s="4">
        <v>274</v>
      </c>
      <c r="G11" s="5">
        <f>(F11/B11)^(1/4)-1</f>
        <v>-5.4007374894560201E-3</v>
      </c>
      <c r="H11" s="6">
        <f>F11-B11</f>
        <v>-6</v>
      </c>
    </row>
    <row r="12" spans="1:8" x14ac:dyDescent="0.35">
      <c r="A12" s="12" t="s">
        <v>16</v>
      </c>
      <c r="B12" s="8">
        <v>416</v>
      </c>
      <c r="C12" s="8">
        <v>415</v>
      </c>
      <c r="D12" s="8">
        <v>399</v>
      </c>
      <c r="E12" s="8">
        <v>440</v>
      </c>
      <c r="F12" s="8">
        <v>421</v>
      </c>
      <c r="G12" s="9">
        <f>(F12/B12)^(1/4)-1</f>
        <v>2.9913585658332131E-3</v>
      </c>
      <c r="H12" s="10">
        <f>F12-B12</f>
        <v>5</v>
      </c>
    </row>
    <row r="14" spans="1:8" x14ac:dyDescent="0.35">
      <c r="A14" s="18" t="s">
        <v>17</v>
      </c>
      <c r="B14" s="19"/>
      <c r="C14" s="19"/>
      <c r="D14" s="19"/>
      <c r="E14" s="19"/>
      <c r="F14" s="19"/>
      <c r="G14" s="19"/>
      <c r="H14" s="19"/>
    </row>
    <row r="15" spans="1:8" x14ac:dyDescent="0.35">
      <c r="A15" s="1" t="s">
        <v>2</v>
      </c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</row>
    <row r="16" spans="1:8" x14ac:dyDescent="0.35">
      <c r="A16" s="3" t="s">
        <v>18</v>
      </c>
      <c r="B16" s="5">
        <f>B5/B12</f>
        <v>0.24278846153846154</v>
      </c>
      <c r="C16" s="5">
        <f>C5/C12</f>
        <v>0.22746987951807229</v>
      </c>
      <c r="D16" s="5">
        <f>D5/D12</f>
        <v>0.22957393483709271</v>
      </c>
      <c r="E16" s="5">
        <f>E5/E12</f>
        <v>0.22636363636363635</v>
      </c>
      <c r="F16" s="5">
        <f>F5/F12</f>
        <v>0.23586698337292161</v>
      </c>
      <c r="G16" s="14"/>
    </row>
    <row r="17" spans="1:7" x14ac:dyDescent="0.35">
      <c r="A17" s="7" t="s">
        <v>19</v>
      </c>
      <c r="B17" s="9">
        <f>B6/B12</f>
        <v>0.40144230769230771</v>
      </c>
      <c r="C17" s="9">
        <f>C6/C12</f>
        <v>0.41204819277108434</v>
      </c>
      <c r="D17" s="9">
        <f>D6/D12</f>
        <v>0.42355889724310775</v>
      </c>
      <c r="E17" s="9">
        <f>E6/E12</f>
        <v>0.4</v>
      </c>
      <c r="F17" s="9">
        <f>F6/F12</f>
        <v>0.38717339667458434</v>
      </c>
      <c r="G17" s="15"/>
    </row>
    <row r="18" spans="1:7" x14ac:dyDescent="0.35">
      <c r="A18" s="3" t="s">
        <v>20</v>
      </c>
      <c r="B18" s="5">
        <f>B7/B12</f>
        <v>0.1423076923076923</v>
      </c>
      <c r="C18" s="5">
        <f>C7/C12</f>
        <v>0.14530120481927711</v>
      </c>
      <c r="D18" s="5">
        <f>D7/D12</f>
        <v>0.15563909774436091</v>
      </c>
      <c r="E18" s="5">
        <f>E7/E12</f>
        <v>0.13136363636363635</v>
      </c>
      <c r="F18" s="5">
        <f>F7/F12</f>
        <v>0.13254156769596198</v>
      </c>
      <c r="G18" s="14"/>
    </row>
    <row r="19" spans="1:7" x14ac:dyDescent="0.35">
      <c r="A19" s="7" t="s">
        <v>21</v>
      </c>
      <c r="B19" s="9">
        <f>B8/B12</f>
        <v>0.1079326923076923</v>
      </c>
      <c r="C19" s="9">
        <f>C8/C12</f>
        <v>9.7831325301204822E-2</v>
      </c>
      <c r="D19" s="9">
        <f>D8/D12</f>
        <v>9.498746867167919E-2</v>
      </c>
      <c r="E19" s="9">
        <f>E8/E12</f>
        <v>9.7045454545454546E-2</v>
      </c>
      <c r="F19" s="9">
        <f>F8/F12</f>
        <v>0.10118764845605702</v>
      </c>
      <c r="G19" s="15"/>
    </row>
    <row r="20" spans="1:7" x14ac:dyDescent="0.35">
      <c r="A20" s="3" t="s">
        <v>22</v>
      </c>
      <c r="B20" s="5">
        <f>B9/B12</f>
        <v>6.2500000000000003E-3</v>
      </c>
      <c r="C20" s="5">
        <f>C9/C12</f>
        <v>5.3012048192771092E-3</v>
      </c>
      <c r="D20" s="5">
        <f>D9/D12</f>
        <v>4.5112781954887221E-3</v>
      </c>
      <c r="E20" s="5">
        <f>E9/E12</f>
        <v>4.3181818181818182E-3</v>
      </c>
      <c r="F20" s="5">
        <f>F9/F12</f>
        <v>4.513064133016627E-3</v>
      </c>
      <c r="G20" s="14"/>
    </row>
    <row r="21" spans="1:7" x14ac:dyDescent="0.35">
      <c r="A21" s="7" t="s">
        <v>23</v>
      </c>
      <c r="B21" s="9">
        <f>B11/B12</f>
        <v>0.67307692307692313</v>
      </c>
      <c r="C21" s="9">
        <f>C11/C12</f>
        <v>0.67710843373493979</v>
      </c>
      <c r="D21" s="9">
        <f>D11/D12</f>
        <v>0.6992481203007519</v>
      </c>
      <c r="E21" s="9">
        <f>E11/E12</f>
        <v>0.65227272727272723</v>
      </c>
      <c r="F21" s="9">
        <f>F11/F12</f>
        <v>0.65083135391923985</v>
      </c>
      <c r="G21" s="15"/>
    </row>
    <row r="24" spans="1:7" outlineLevel="2" x14ac:dyDescent="0.35">
      <c r="B24" t="s">
        <v>10</v>
      </c>
      <c r="C24" t="s">
        <v>11</v>
      </c>
      <c r="D24" t="s">
        <v>12</v>
      </c>
      <c r="E24" t="s">
        <v>13</v>
      </c>
      <c r="F24" t="s">
        <v>14</v>
      </c>
    </row>
    <row r="25" spans="1:7" outlineLevel="2" x14ac:dyDescent="0.35">
      <c r="A25" s="22">
        <v>2020</v>
      </c>
      <c r="B25">
        <f>B5</f>
        <v>101</v>
      </c>
      <c r="C25">
        <f>B6</f>
        <v>167</v>
      </c>
      <c r="D25">
        <f>B7</f>
        <v>59.2</v>
      </c>
      <c r="E25">
        <f>B8</f>
        <v>44.9</v>
      </c>
      <c r="F25">
        <f>B9</f>
        <v>2.6</v>
      </c>
    </row>
    <row r="26" spans="1:7" outlineLevel="2" x14ac:dyDescent="0.35">
      <c r="A26" s="22">
        <v>2021</v>
      </c>
      <c r="B26">
        <f>C5</f>
        <v>94.4</v>
      </c>
      <c r="C26">
        <f>C6</f>
        <v>171</v>
      </c>
      <c r="D26">
        <f>C7</f>
        <v>60.3</v>
      </c>
      <c r="E26">
        <f>C8</f>
        <v>40.6</v>
      </c>
      <c r="F26">
        <f>C9</f>
        <v>2.2000000000000002</v>
      </c>
    </row>
    <row r="27" spans="1:7" outlineLevel="2" x14ac:dyDescent="0.35">
      <c r="A27" s="22">
        <v>2022</v>
      </c>
      <c r="B27">
        <f>D5</f>
        <v>91.6</v>
      </c>
      <c r="C27">
        <f>D6</f>
        <v>169</v>
      </c>
      <c r="D27">
        <f>D7</f>
        <v>62.1</v>
      </c>
      <c r="E27">
        <f>D8</f>
        <v>37.9</v>
      </c>
      <c r="F27">
        <f>D9</f>
        <v>1.8</v>
      </c>
    </row>
    <row r="28" spans="1:7" outlineLevel="2" x14ac:dyDescent="0.35">
      <c r="A28" s="22">
        <v>2023</v>
      </c>
      <c r="B28">
        <f>E5</f>
        <v>99.6</v>
      </c>
      <c r="C28">
        <f>E6</f>
        <v>176</v>
      </c>
      <c r="D28">
        <f>E7</f>
        <v>57.8</v>
      </c>
      <c r="E28">
        <f>E8</f>
        <v>42.7</v>
      </c>
      <c r="F28">
        <f>E9</f>
        <v>1.9</v>
      </c>
    </row>
    <row r="29" spans="1:7" outlineLevel="2" x14ac:dyDescent="0.35">
      <c r="A29" s="22">
        <v>2024</v>
      </c>
      <c r="B29">
        <f>F5</f>
        <v>99.3</v>
      </c>
      <c r="C29">
        <f>F6</f>
        <v>163</v>
      </c>
      <c r="D29">
        <f>F7</f>
        <v>55.8</v>
      </c>
      <c r="E29">
        <f>F8</f>
        <v>42.6</v>
      </c>
      <c r="F29">
        <f>F9</f>
        <v>1.9</v>
      </c>
    </row>
  </sheetData>
  <mergeCells count="3">
    <mergeCell ref="A14:H14"/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="115" zoomScaleNormal="115" workbookViewId="0">
      <selection activeCell="B19" sqref="B19"/>
    </sheetView>
  </sheetViews>
  <sheetFormatPr defaultRowHeight="14.5" x14ac:dyDescent="0.35"/>
  <cols>
    <col min="1" max="1" width="22" customWidth="1"/>
    <col min="2" max="2" width="110" customWidth="1"/>
  </cols>
  <sheetData>
    <row r="1" spans="1:2" x14ac:dyDescent="0.35">
      <c r="A1" s="13" t="s">
        <v>24</v>
      </c>
    </row>
    <row r="2" spans="1:2" x14ac:dyDescent="0.35">
      <c r="A2" s="16"/>
      <c r="B2" s="16" t="s">
        <v>25</v>
      </c>
    </row>
    <row r="3" spans="1:2" x14ac:dyDescent="0.35">
      <c r="A3" s="16"/>
      <c r="B3" s="16" t="s">
        <v>26</v>
      </c>
    </row>
    <row r="4" spans="1:2" x14ac:dyDescent="0.35">
      <c r="A4" s="16"/>
      <c r="B4" s="16" t="s">
        <v>27</v>
      </c>
    </row>
    <row r="5" spans="1:2" x14ac:dyDescent="0.35">
      <c r="A5" s="16"/>
      <c r="B5" s="16"/>
    </row>
    <row r="6" spans="1:2" x14ac:dyDescent="0.35">
      <c r="A6" s="13" t="s">
        <v>28</v>
      </c>
    </row>
    <row r="7" spans="1:2" x14ac:dyDescent="0.35">
      <c r="A7" s="17" t="s">
        <v>29</v>
      </c>
      <c r="B7" s="16" t="s">
        <v>30</v>
      </c>
    </row>
    <row r="8" spans="1:2" x14ac:dyDescent="0.35">
      <c r="A8" s="17" t="s">
        <v>31</v>
      </c>
      <c r="B8" s="16" t="s">
        <v>32</v>
      </c>
    </row>
    <row r="9" spans="1:2" x14ac:dyDescent="0.35">
      <c r="A9" s="17" t="s">
        <v>33</v>
      </c>
      <c r="B9" s="16" t="s">
        <v>34</v>
      </c>
    </row>
    <row r="10" spans="1:2" x14ac:dyDescent="0.35">
      <c r="A10" s="17" t="s">
        <v>35</v>
      </c>
      <c r="B10" s="16" t="s">
        <v>36</v>
      </c>
    </row>
    <row r="11" spans="1:2" x14ac:dyDescent="0.35">
      <c r="A11" s="17" t="s">
        <v>37</v>
      </c>
      <c r="B11" s="16" t="s">
        <v>38</v>
      </c>
    </row>
    <row r="12" spans="1:2" x14ac:dyDescent="0.35">
      <c r="A12" s="16"/>
      <c r="B12" s="16"/>
    </row>
    <row r="13" spans="1:2" x14ac:dyDescent="0.35">
      <c r="A13" s="13" t="s">
        <v>39</v>
      </c>
    </row>
    <row r="14" spans="1:2" x14ac:dyDescent="0.35">
      <c r="A14" s="16"/>
      <c r="B14" s="16" t="s">
        <v>40</v>
      </c>
    </row>
    <row r="15" spans="1:2" x14ac:dyDescent="0.35">
      <c r="A15" s="16"/>
      <c r="B15" s="16" t="s">
        <v>41</v>
      </c>
    </row>
    <row r="16" spans="1:2" x14ac:dyDescent="0.35">
      <c r="A16" s="16"/>
      <c r="B16" s="16" t="s">
        <v>42</v>
      </c>
    </row>
    <row r="17" spans="1:2" x14ac:dyDescent="0.35">
      <c r="A17" s="16"/>
      <c r="B17" s="16" t="s">
        <v>43</v>
      </c>
    </row>
    <row r="18" spans="1:2" x14ac:dyDescent="0.35">
      <c r="A18" s="16"/>
      <c r="B18" s="16" t="s">
        <v>44</v>
      </c>
    </row>
    <row r="19" spans="1:2" x14ac:dyDescent="0.35">
      <c r="A19" s="16"/>
      <c r="B19" s="1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Utilization (M CWT)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Grove</cp:lastModifiedBy>
  <dcterms:created xsi:type="dcterms:W3CDTF">2026-03-20T22:00:04Z</dcterms:created>
  <dcterms:modified xsi:type="dcterms:W3CDTF">2026-03-20T22:08:07Z</dcterms:modified>
</cp:coreProperties>
</file>